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8" customWidth="1" min="4" max="4"/>
    <col width="16" customWidth="1" min="5" max="5"/>
    <col width="14" customWidth="1" min="6" max="6"/>
    <col width="13" customWidth="1" min="7" max="7"/>
    <col width="18" customWidth="1" min="8" max="8"/>
  </cols>
  <sheetData>
    <row r="1">
      <c r="A1" s="1" t="inlineStr">
        <is>
          <t>Part no.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Unit price (EUR)</t>
        </is>
      </c>
      <c r="F1" s="1" t="inlineStr">
        <is>
          <t>Total (EUR)</t>
        </is>
      </c>
      <c r="G1" s="1" t="inlineStr">
        <is>
          <t>Due date</t>
        </is>
      </c>
      <c r="H1" s="1" t="inlineStr">
        <is>
          <t>Status</t>
        </is>
      </c>
    </row>
    <row r="2">
      <c r="A2" s="2" t="inlineStr">
        <is>
          <t>NW-1042</t>
        </is>
      </c>
      <c r="B2" s="2" t="inlineStr">
        <is>
          <t>Flange DN100 PN16</t>
        </is>
      </c>
      <c r="C2" s="2" t="inlineStr">
        <is>
          <t>S235JR</t>
        </is>
      </c>
      <c r="D2" s="2" t="n">
        <v>150</v>
      </c>
      <c r="E2" s="3" t="n">
        <v>41</v>
      </c>
      <c r="F2" s="3">
        <f>D2*E2</f>
        <v/>
      </c>
      <c r="G2" s="2" t="inlineStr">
        <is>
          <t>2026-10-30</t>
        </is>
      </c>
      <c r="H2" s="2" t="inlineStr">
        <is>
          <t>Released</t>
        </is>
      </c>
    </row>
    <row r="3">
      <c r="A3" s="2" t="inlineStr">
        <is>
          <t>NW-1043</t>
        </is>
      </c>
      <c r="B3" s="2" t="inlineStr">
        <is>
          <t>Flange DN80 PN16</t>
        </is>
      </c>
      <c r="C3" s="2" t="inlineStr">
        <is>
          <t>S235JR</t>
        </is>
      </c>
      <c r="D3" s="2" t="n">
        <v>60</v>
      </c>
      <c r="E3" s="3" t="n">
        <v>31.2</v>
      </c>
      <c r="F3" s="3">
        <f>D3*E3</f>
        <v/>
      </c>
      <c r="G3" s="2" t="inlineStr">
        <is>
          <t>2026-10-30</t>
        </is>
      </c>
      <c r="H3" s="2" t="inlineStr">
        <is>
          <t>In production</t>
        </is>
      </c>
    </row>
    <row r="4">
      <c r="A4" s="2" t="inlineStr">
        <is>
          <t>CA-2201</t>
        </is>
      </c>
      <c r="B4" s="2" t="inlineStr">
        <is>
          <t>Bracket rev C</t>
        </is>
      </c>
      <c r="C4" s="2" t="inlineStr">
        <is>
          <t>AlMg3</t>
        </is>
      </c>
      <c r="D4" s="2" t="n">
        <v>50</v>
      </c>
      <c r="E4" s="3" t="n">
        <v>22.9</v>
      </c>
      <c r="F4" s="3">
        <f>D4*E4</f>
        <v/>
      </c>
      <c r="G4" s="2" t="inlineStr">
        <is>
          <t>2026-11-03</t>
        </is>
      </c>
      <c r="H4" s="2" t="inlineStr">
        <is>
          <t>CAM ready</t>
        </is>
      </c>
    </row>
    <row r="5">
      <c r="A5" s="2" t="inlineStr">
        <is>
          <t>CA-2202</t>
        </is>
      </c>
      <c r="B5" s="2" t="inlineStr">
        <is>
          <t>Spacer Ø40x12</t>
        </is>
      </c>
      <c r="C5" s="2" t="inlineStr">
        <is>
          <t>1.4301</t>
        </is>
      </c>
      <c r="D5" s="2" t="n">
        <v>250</v>
      </c>
      <c r="E5" s="3" t="n">
        <v>3.4</v>
      </c>
      <c r="F5" s="3">
        <f>D5*E5</f>
        <v/>
      </c>
      <c r="G5" s="2" t="inlineStr">
        <is>
          <t>2026-11-05</t>
        </is>
      </c>
      <c r="H5" s="2" t="inlineStr">
        <is>
          <t>Material received</t>
        </is>
      </c>
    </row>
    <row r="6">
      <c r="A6" s="2" t="inlineStr">
        <is>
          <t>CA-2210</t>
        </is>
      </c>
      <c r="B6" s="2" t="inlineStr">
        <is>
          <t>Shaft Ø25 h7</t>
        </is>
      </c>
      <c r="C6" s="2" t="inlineStr">
        <is>
          <t>42CrMo4</t>
        </is>
      </c>
      <c r="D6" s="2" t="n">
        <v>30</v>
      </c>
      <c r="E6" s="3" t="n">
        <v>64</v>
      </c>
      <c r="F6" s="3">
        <f>D6*E6</f>
        <v/>
      </c>
      <c r="G6" s="2" t="inlineStr">
        <is>
          <t>2026-11-09</t>
        </is>
      </c>
      <c r="H6" s="2" t="inlineStr">
        <is>
          <t>In production</t>
        </is>
      </c>
    </row>
    <row r="7">
      <c r="A7" s="2" t="inlineStr">
        <is>
          <t>NW-1050</t>
        </is>
      </c>
      <c r="B7" s="2" t="inlineStr">
        <is>
          <t>Cover plate 300x200</t>
        </is>
      </c>
      <c r="C7" s="2" t="inlineStr">
        <is>
          <t>S355J2</t>
        </is>
      </c>
      <c r="D7" s="2" t="n">
        <v>25</v>
      </c>
      <c r="E7" s="3" t="n">
        <v>47.8</v>
      </c>
      <c r="F7" s="3">
        <f>D7*E7</f>
        <v/>
      </c>
      <c r="G7" s="2" t="inlineStr">
        <is>
          <t>2026-11-12</t>
        </is>
      </c>
      <c r="H7" s="2" t="inlineStr">
        <is>
          <t>Quoted</t>
        </is>
      </c>
    </row>
    <row r="8">
      <c r="A8" s="4" t="inlineStr"/>
      <c r="B8" s="4" t="inlineStr">
        <is>
          <t>Total</t>
        </is>
      </c>
      <c r="C8" s="4" t="inlineStr"/>
      <c r="D8" s="4">
        <f>SUM(D2:D7)</f>
        <v/>
      </c>
      <c r="E8" s="5" t="inlineStr"/>
      <c r="F8" s="5">
        <f>SUM(F2:F7)</f>
        <v/>
      </c>
      <c r="G8" s="4" t="inlineStr"/>
      <c r="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2026-10-19T22:47:27Z</dcterms:created>
  <dcterms:modified xmlns:dcterms="http://purl.org/dc/terms/" xmlns:xsi="http://www.w3.org/2001/XMLSchema-instance" xsi:type="dcterms:W3CDTF">2026-10-19T22:47:27Z</dcterms:modified>
</cp:coreProperties>
</file>